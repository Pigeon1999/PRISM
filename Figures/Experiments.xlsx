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내 드라이브\대학자료\논문\학회 논문\학위논문\"/>
    </mc:Choice>
  </mc:AlternateContent>
  <xr:revisionPtr revIDLastSave="0" documentId="13_ncr:1_{AB1FED8C-E925-4099-BEEA-DE3BEA208AF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Table 1" sheetId="29" r:id="rId1"/>
    <sheet name="Table 2" sheetId="31" r:id="rId2"/>
    <sheet name="Table 3" sheetId="3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<sst xmlns="http://schemas.openxmlformats.org/spreadsheetml/2006/main" count="238" uniqueCount="159">
  <si>
    <t>SparseTSF</t>
    <phoneticPr fontId="1" type="noConversion"/>
  </si>
  <si>
    <t>Timebase</t>
    <phoneticPr fontId="1" type="noConversion"/>
  </si>
  <si>
    <t>Dataset</t>
    <phoneticPr fontId="1" type="noConversion"/>
  </si>
  <si>
    <t>ETTh1</t>
    <phoneticPr fontId="1" type="noConversion"/>
  </si>
  <si>
    <t>Electricity</t>
    <phoneticPr fontId="1" type="noConversion"/>
  </si>
  <si>
    <t>Params</t>
    <phoneticPr fontId="1" type="noConversion"/>
  </si>
  <si>
    <t>MACs</t>
    <phoneticPr fontId="1" type="noConversion"/>
  </si>
  <si>
    <t>Weather</t>
    <phoneticPr fontId="1" type="noConversion"/>
  </si>
  <si>
    <t>7.28 M</t>
    <phoneticPr fontId="1" type="noConversion"/>
  </si>
  <si>
    <t>Ours</t>
    <phoneticPr fontId="1" type="noConversion"/>
  </si>
  <si>
    <t>143.81 K</t>
    <phoneticPr fontId="1" type="noConversion"/>
  </si>
  <si>
    <t>30.24 K</t>
  </si>
  <si>
    <t>25.70 K</t>
  </si>
  <si>
    <t>0.340</t>
  </si>
  <si>
    <t>215.04 K</t>
  </si>
  <si>
    <t>42.00 K</t>
  </si>
  <si>
    <t>53.76 K</t>
  </si>
  <si>
    <t>72.58 K</t>
  </si>
  <si>
    <t>146.16 K</t>
  </si>
  <si>
    <t>166.32 K</t>
  </si>
  <si>
    <t>196.56 K</t>
  </si>
  <si>
    <t>277.20 K</t>
  </si>
  <si>
    <t>15.79 K</t>
  </si>
  <si>
    <t>51.41K</t>
  </si>
  <si>
    <t>116.42 K</t>
  </si>
  <si>
    <t>22.51 K</t>
  </si>
  <si>
    <t>17.14 K</t>
  </si>
  <si>
    <t>13.78 K</t>
  </si>
  <si>
    <t>15.12 K</t>
  </si>
  <si>
    <t>Metrics</t>
    <phoneticPr fontId="1" type="noConversion"/>
  </si>
  <si>
    <t>MixLinear</t>
    <phoneticPr fontId="1" type="noConversion"/>
  </si>
  <si>
    <t>Methods</t>
    <phoneticPr fontId="1" type="noConversion"/>
  </si>
  <si>
    <t>PatchTST</t>
    <phoneticPr fontId="1" type="noConversion"/>
  </si>
  <si>
    <t>FITS</t>
    <phoneticPr fontId="1" type="noConversion"/>
  </si>
  <si>
    <t>ETTh2</t>
    <phoneticPr fontId="1" type="noConversion"/>
  </si>
  <si>
    <t>ETTm1</t>
    <phoneticPr fontId="1" type="noConversion"/>
  </si>
  <si>
    <t>ETTm2</t>
    <phoneticPr fontId="1" type="noConversion"/>
  </si>
  <si>
    <t>Count</t>
    <phoneticPr fontId="1" type="noConversion"/>
  </si>
  <si>
    <t>901.37 K</t>
  </si>
  <si>
    <t>1.18 M</t>
  </si>
  <si>
    <t>1.59 M</t>
  </si>
  <si>
    <t>2.7 M</t>
  </si>
  <si>
    <t>6.71 M</t>
  </si>
  <si>
    <t>7.63 M</t>
  </si>
  <si>
    <t>9.01 M</t>
  </si>
  <si>
    <t>12.71 M</t>
  </si>
  <si>
    <t>157.58 K</t>
  </si>
  <si>
    <t>171.70 K</t>
  </si>
  <si>
    <t>46.70 K</t>
  </si>
  <si>
    <t>1.93 M</t>
  </si>
  <si>
    <t>2.14 M</t>
  </si>
  <si>
    <t>2.47 M</t>
  </si>
  <si>
    <t>18.00 M</t>
  </si>
  <si>
    <t>20.48 M</t>
  </si>
  <si>
    <t>24.20 M</t>
  </si>
  <si>
    <t>34.14 M</t>
  </si>
  <si>
    <t>2.42 M</t>
  </si>
  <si>
    <t>3.17 M</t>
  </si>
  <si>
    <t>4.28 M</t>
  </si>
  <si>
    <t>4.28 M</t>
    <phoneticPr fontId="1" type="noConversion"/>
  </si>
  <si>
    <t>7.26 M</t>
  </si>
  <si>
    <t>Solar</t>
    <phoneticPr fontId="1" type="noConversion"/>
  </si>
  <si>
    <t>Traffic</t>
    <phoneticPr fontId="1" type="noConversion"/>
  </si>
  <si>
    <t>2.77 M</t>
    <phoneticPr fontId="1" type="noConversion"/>
  </si>
  <si>
    <t>165.44 K</t>
    <phoneticPr fontId="1" type="noConversion"/>
  </si>
  <si>
    <t>184.73 K</t>
    <phoneticPr fontId="1" type="noConversion"/>
  </si>
  <si>
    <t>214.16 K</t>
    <phoneticPr fontId="1" type="noConversion"/>
  </si>
  <si>
    <t>292.32 K</t>
    <phoneticPr fontId="1" type="noConversion"/>
  </si>
  <si>
    <t>8.47 M</t>
    <phoneticPr fontId="1" type="noConversion"/>
  </si>
  <si>
    <t>9.82 M</t>
    <phoneticPr fontId="1" type="noConversion"/>
  </si>
  <si>
    <t>13.40 M</t>
    <phoneticPr fontId="1" type="noConversion"/>
  </si>
  <si>
    <t>20.37 M</t>
    <phoneticPr fontId="1" type="noConversion"/>
  </si>
  <si>
    <t>22.74 M</t>
    <phoneticPr fontId="1" type="noConversion"/>
  </si>
  <si>
    <t>26.37 M</t>
    <phoneticPr fontId="1" type="noConversion"/>
  </si>
  <si>
    <t>36.00 M</t>
    <phoneticPr fontId="1" type="noConversion"/>
  </si>
  <si>
    <t>DLinear</t>
    <phoneticPr fontId="1" type="noConversion"/>
  </si>
  <si>
    <t>5.17 M</t>
  </si>
  <si>
    <t>7.97 M</t>
  </si>
  <si>
    <t>18.91 M</t>
  </si>
  <si>
    <t>18.91 M</t>
    <phoneticPr fontId="1" type="noConversion"/>
  </si>
  <si>
    <t>12.04 M</t>
  </si>
  <si>
    <t>149.86 K</t>
  </si>
  <si>
    <t>162.29 K</t>
  </si>
  <si>
    <t>176.06 K</t>
  </si>
  <si>
    <t>6.81 M</t>
  </si>
  <si>
    <t>7.50 M</t>
  </si>
  <si>
    <t>8.07 M</t>
  </si>
  <si>
    <t>9.80 M</t>
  </si>
  <si>
    <t>18.45 M</t>
  </si>
  <si>
    <t>19.98 M</t>
  </si>
  <si>
    <t>21.85 M</t>
  </si>
  <si>
    <t>26.48 M</t>
  </si>
  <si>
    <t>138.43 K</t>
    <phoneticPr fontId="1" type="noConversion"/>
  </si>
  <si>
    <t>979.44 K</t>
    <phoneticPr fontId="1" type="noConversion"/>
  </si>
  <si>
    <t>276.86 K</t>
    <phoneticPr fontId="1" type="noConversion"/>
  </si>
  <si>
    <t>1.95 M</t>
    <phoneticPr fontId="1" type="noConversion"/>
  </si>
  <si>
    <t>484.51 K</t>
    <phoneticPr fontId="1" type="noConversion"/>
  </si>
  <si>
    <t>3.40 M</t>
    <phoneticPr fontId="1" type="noConversion"/>
  </si>
  <si>
    <t>1.04 M</t>
    <phoneticPr fontId="1" type="noConversion"/>
  </si>
  <si>
    <t>44.91 M</t>
    <phoneticPr fontId="1" type="noConversion"/>
  </si>
  <si>
    <t>89.35 M</t>
    <phoneticPr fontId="1" type="noConversion"/>
  </si>
  <si>
    <t>146.01 M</t>
    <phoneticPr fontId="1" type="noConversion"/>
  </si>
  <si>
    <t>333.75 M</t>
    <phoneticPr fontId="1" type="noConversion"/>
  </si>
  <si>
    <t>120.61 M</t>
    <phoneticPr fontId="1" type="noConversion"/>
  </si>
  <si>
    <t>239.94 M</t>
    <phoneticPr fontId="1" type="noConversion"/>
  </si>
  <si>
    <t>418.93 M</t>
    <phoneticPr fontId="1" type="noConversion"/>
  </si>
  <si>
    <t>896.25 M</t>
    <phoneticPr fontId="1" type="noConversion"/>
  </si>
  <si>
    <t>156.22 K</t>
    <phoneticPr fontId="1" type="noConversion"/>
  </si>
  <si>
    <t>17.94 M</t>
    <phoneticPr fontId="1" type="noConversion"/>
  </si>
  <si>
    <t>294.56 K</t>
    <phoneticPr fontId="1" type="noConversion"/>
  </si>
  <si>
    <t>502.06 K</t>
    <phoneticPr fontId="1" type="noConversion"/>
  </si>
  <si>
    <t>20.36 M</t>
    <phoneticPr fontId="1" type="noConversion"/>
  </si>
  <si>
    <t>1.06 M</t>
    <phoneticPr fontId="1" type="noConversion"/>
  </si>
  <si>
    <t>24.23 M</t>
    <phoneticPr fontId="1" type="noConversion"/>
  </si>
  <si>
    <t>1.52 M</t>
    <phoneticPr fontId="1" type="noConversion"/>
  </si>
  <si>
    <t>14.07 G</t>
    <phoneticPr fontId="1" type="noConversion"/>
  </si>
  <si>
    <t>2.62 M</t>
    <phoneticPr fontId="1" type="noConversion"/>
  </si>
  <si>
    <t>14.42 G</t>
    <phoneticPr fontId="1" type="noConversion"/>
  </si>
  <si>
    <t>14.95 G</t>
    <phoneticPr fontId="1" type="noConversion"/>
  </si>
  <si>
    <t>8.71 M</t>
    <phoneticPr fontId="1" type="noConversion"/>
  </si>
  <si>
    <t>16.37 G</t>
    <phoneticPr fontId="1" type="noConversion"/>
  </si>
  <si>
    <t>37.77 G</t>
    <phoneticPr fontId="1" type="noConversion"/>
  </si>
  <si>
    <t>38.73 G</t>
    <phoneticPr fontId="1" type="noConversion"/>
  </si>
  <si>
    <t>40.16 G</t>
    <phoneticPr fontId="1" type="noConversion"/>
  </si>
  <si>
    <t>43.97 G</t>
    <phoneticPr fontId="1" type="noConversion"/>
  </si>
  <si>
    <t>30.59 K</t>
    <phoneticPr fontId="1" type="noConversion"/>
  </si>
  <si>
    <t>41.76 K</t>
  </si>
  <si>
    <t>26.39 K</t>
    <phoneticPr fontId="1" type="noConversion"/>
  </si>
  <si>
    <t>23.64 K</t>
    <phoneticPr fontId="1" type="noConversion"/>
  </si>
  <si>
    <t>7.59 M</t>
    <phoneticPr fontId="1" type="noConversion"/>
  </si>
  <si>
    <t>0.367</t>
  </si>
  <si>
    <t>0.416</t>
  </si>
  <si>
    <t>0.165</t>
  </si>
  <si>
    <t>0.217</t>
  </si>
  <si>
    <t>0.270</t>
  </si>
  <si>
    <t>0.351</t>
  </si>
  <si>
    <t>0.196</t>
  </si>
  <si>
    <t>0.215</t>
  </si>
  <si>
    <t>0.233</t>
  </si>
  <si>
    <t>Period</t>
    <phoneticPr fontId="1" type="noConversion"/>
  </si>
  <si>
    <t>Channels</t>
    <phoneticPr fontId="1" type="noConversion"/>
  </si>
  <si>
    <t>Sampling Rate</t>
    <phoneticPr fontId="1" type="noConversion"/>
  </si>
  <si>
    <t>Total Timesteps</t>
    <phoneticPr fontId="1" type="noConversion"/>
  </si>
  <si>
    <t>1 hour</t>
    <phoneticPr fontId="1" type="noConversion"/>
  </si>
  <si>
    <t>15 min</t>
    <phoneticPr fontId="1" type="noConversion"/>
  </si>
  <si>
    <t>10 min</t>
    <phoneticPr fontId="1" type="noConversion"/>
  </si>
  <si>
    <t>PRISM
(Ours)</t>
    <phoneticPr fontId="1" type="noConversion"/>
  </si>
  <si>
    <t>MixLinear
(2026)</t>
    <phoneticPr fontId="1" type="noConversion"/>
  </si>
  <si>
    <t>Timebase
(2025)</t>
    <phoneticPr fontId="1" type="noConversion"/>
  </si>
  <si>
    <t>SparseTSF
(2024)</t>
    <phoneticPr fontId="1" type="noConversion"/>
  </si>
  <si>
    <t>FITS
(2024)</t>
    <phoneticPr fontId="1" type="noConversion"/>
  </si>
  <si>
    <t>DLinear
(2023)</t>
    <phoneticPr fontId="1" type="noConversion"/>
  </si>
  <si>
    <t>PatchTST
(2023)</t>
    <phoneticPr fontId="1" type="noConversion"/>
  </si>
  <si>
    <t>FEDformer
(2022)</t>
    <phoneticPr fontId="1" type="noConversion"/>
  </si>
  <si>
    <t>Autoformer
(2021)</t>
    <phoneticPr fontId="1" type="noConversion"/>
  </si>
  <si>
    <t>Weather</t>
  </si>
  <si>
    <t>10 min</t>
  </si>
  <si>
    <t>Electricity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</si>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</sst>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/>
      <name val="tIM"/>
    </font>
    <font>
      <sz val="11"/>
      <color theme="1"/>
      <name val="tIM"/>
      <family val="1"/>
    </font>
    <font>
      <b/>
      <sz val="11"/>
      <color theme="1"/>
      <name val="tIM"/>
    </font>
    <font>
      <b/>
      <sz val="11"/>
      <color theme="1"/>
      <name val="tIM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8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ABCB-B6B3-48B7-AAC3-A2A840EEDE22}">
  <dimension ref="B1:F10"/>
  <sheetViews>
    <sheetView workbookViewId="0">
      <selection activeCell="F28" sqref="F28"/>
    </sheetView>
  </sheetViews>
  <sheetFormatPr defaultRowHeight="16.5"/>
  <cols>
    <col min="2" max="2" width="15.375" bestFit="1" customWidth="1"/>
    <col min="3" max="3" width="9.375" bestFit="1" customWidth="1"/>
    <col min="4" max="4" width="14.25" bestFit="1" customWidth="1"/>
    <col min="5" max="5" width="15.25" bestFit="1" customWidth="1"/>
    <col min="6" max="6" width="7" bestFit="1" customWidth="1"/>
  </cols>
  <sheetData>
    <row r="1" spans="2:6">
      <c r="B1" s="1"/>
      <c r="C1" s="1"/>
      <c r="D1" s="1"/>
      <c r="E1" s="1"/>
      <c r="F1" s="1"/>
    </row>
    <row r="2" spans="2:6" ht="20.100000000000001" customHeight="1">
      <c r="B2" s="47" t="s">
        <v>2</v>
      </c>
      <c r="C2" s="48" t="s">
        <v>140</v>
      </c>
      <c r="D2" s="47" t="s">
        <v>141</v>
      </c>
      <c r="E2" s="47" t="s">
        <v>142</v>
      </c>
      <c r="F2" s="47" t="s">
        <v>139</v>
      </c>
    </row>
    <row r="3" spans="2:6" ht="20.100000000000001" customHeight="1">
      <c r="B3" s="12" t="s">
        <v>3</v>
      </c>
      <c r="C3" s="49">
        <v>7</v>
      </c>
      <c r="D3" s="12" t="s">
        <v>143</v>
      </c>
      <c r="E3" s="77">
        <v>17420</v>
      </c>
      <c r="F3" s="12">
        <v>24</v>
      </c>
    </row>
    <row r="4" spans="2:6" ht="20.100000000000001" customHeight="1">
      <c r="B4" s="12" t="s">
        <v>34</v>
      </c>
      <c r="C4" s="49">
        <v>7</v>
      </c>
      <c r="D4" s="12" t="s">
        <v>143</v>
      </c>
      <c r="E4" s="77">
        <v>17420</v>
      </c>
      <c r="F4" s="12">
        <v>24</v>
      </c>
    </row>
    <row r="5" spans="2:6" ht="20.100000000000001" customHeight="1">
      <c r="B5" s="12" t="s">
        <v>35</v>
      </c>
      <c r="C5" s="49">
        <v>7</v>
      </c>
      <c r="D5" s="12" t="s">
        <v>144</v>
      </c>
      <c r="E5" s="77">
        <v>69680</v>
      </c>
      <c r="F5" s="12">
        <v>4</v>
      </c>
    </row>
    <row r="6" spans="2:6" ht="20.100000000000001" customHeight="1">
      <c r="B6" s="12" t="s">
        <v>36</v>
      </c>
      <c r="C6" s="49">
        <v>7</v>
      </c>
      <c r="D6" s="12" t="s">
        <v>144</v>
      </c>
      <c r="E6" s="77">
        <v>69680</v>
      </c>
      <c r="F6" s="12">
        <v>4</v>
      </c>
    </row>
    <row r="7" spans="2:6" ht="20.100000000000001" customHeight="1">
      <c r="B7" s="12" t="s">
        <v>155</v>
      </c>
      <c r="C7" s="49">
        <v>21</v>
      </c>
      <c r="D7" s="12" t="s">
        <v>156</v>
      </c>
      <c r="E7" s="77">
        <v>52696</v>
      </c>
      <c r="F7" s="12">
        <v>4</v>
      </c>
    </row>
    <row r="8" spans="2:6" ht="20.100000000000001" customHeight="1">
      <c r="B8" s="12" t="s">
        <v>7</v>
      </c>
      <c r="C8" s="49">
        <v>21</v>
      </c>
      <c r="D8" s="12" t="s">
        <v>145</v>
      </c>
      <c r="E8" s="77">
        <v>52696</v>
      </c>
      <c r="F8" s="12">
        <v>4</v>
      </c>
    </row>
    <row r="9" spans="2:6" ht="20.100000000000001" customHeight="1">
      <c r="B9" s="12" t="s">
        <v>157</v>
      </c>
      <c r="C9" s="49">
        <v>321</v>
      </c>
      <c r="D9" s="12" t="s">
        <v>158</v>
      </c>
      <c r="E9" s="77">
        <v>26304</v>
      </c>
      <c r="F9" s="12">
        <v>24</v>
      </c>
    </row>
    <row r="10" spans="2:6" ht="20.100000000000001" customHeight="1">
      <c r="B10" s="50" t="s">
        <v>61</v>
      </c>
      <c r="C10" s="51">
        <v>137</v>
      </c>
      <c r="D10" s="50" t="s">
        <v>145</v>
      </c>
      <c r="E10" s="78">
        <v>52560</v>
      </c>
      <c r="F10" s="50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4693-CD3A-447A-AB9B-87C810408EFE}">
  <dimension ref="B1:L36"/>
  <sheetViews>
    <sheetView zoomScale="115" zoomScaleNormal="115" workbookViewId="0">
      <selection activeCell="G20" sqref="G20:G23"/>
    </sheetView>
  </sheetViews>
  <sheetFormatPr defaultRowHeight="16.5"/>
  <cols>
    <col min="2" max="2" width="9.5" bestFit="1" customWidth="1"/>
    <col min="3" max="4" width="10" customWidth="1"/>
    <col min="5" max="5" width="9.875" bestFit="1" customWidth="1"/>
    <col min="6" max="6" width="9.875" customWidth="1"/>
    <col min="7" max="23" width="10.625" customWidth="1"/>
  </cols>
  <sheetData>
    <row r="1" spans="2:12">
      <c r="I1" s="1"/>
      <c r="J1" s="1"/>
      <c r="K1" s="1"/>
      <c r="L1" s="1"/>
    </row>
    <row r="2" spans="2:12">
      <c r="B2" s="55" t="s">
        <v>31</v>
      </c>
      <c r="C2" s="52"/>
      <c r="D2" s="61" t="s">
        <v>146</v>
      </c>
      <c r="E2" s="59" t="s">
        <v>147</v>
      </c>
      <c r="F2" s="59" t="s">
        <v>148</v>
      </c>
      <c r="G2" s="59" t="s">
        <v>149</v>
      </c>
      <c r="H2" s="59" t="s">
        <v>150</v>
      </c>
      <c r="I2" s="59" t="s">
        <v>151</v>
      </c>
      <c r="J2" s="59" t="s">
        <v>152</v>
      </c>
      <c r="K2" s="59" t="s">
        <v>153</v>
      </c>
      <c r="L2" s="59" t="s">
        <v>154</v>
      </c>
    </row>
    <row r="3" spans="2:12">
      <c r="B3" s="57"/>
      <c r="C3" s="54"/>
      <c r="D3" s="62"/>
      <c r="E3" s="60"/>
      <c r="F3" s="60"/>
      <c r="G3" s="60"/>
      <c r="H3" s="60"/>
      <c r="I3" s="60"/>
      <c r="J3" s="60"/>
      <c r="K3" s="60"/>
      <c r="L3" s="60"/>
    </row>
    <row r="4" spans="2:12">
      <c r="B4" s="56" t="s">
        <v>3</v>
      </c>
      <c r="C4" s="15">
        <v>96</v>
      </c>
      <c r="D4" s="17">
        <v>0.34899999999999998</v>
      </c>
      <c r="E4" s="17">
        <v>0.35099999999999998</v>
      </c>
      <c r="F4" s="17">
        <v>0.34899999999999998</v>
      </c>
      <c r="G4" s="43">
        <v>0.36199999999999999</v>
      </c>
      <c r="H4" s="23">
        <v>0.38</v>
      </c>
      <c r="I4" s="43">
        <v>0.375</v>
      </c>
      <c r="J4" s="23">
        <v>0.37</v>
      </c>
      <c r="K4" s="23">
        <v>0.376</v>
      </c>
      <c r="L4" s="23">
        <v>0.44900000000000001</v>
      </c>
    </row>
    <row r="5" spans="2:12">
      <c r="B5" s="56"/>
      <c r="C5" s="18">
        <v>192</v>
      </c>
      <c r="D5" s="19">
        <v>0.38600000000000001</v>
      </c>
      <c r="E5" s="20">
        <v>0.39500000000000002</v>
      </c>
      <c r="F5" s="20">
        <v>0.38700000000000001</v>
      </c>
      <c r="G5" s="44">
        <v>0.40400000000000003</v>
      </c>
      <c r="H5" s="24">
        <v>0.41499999999999998</v>
      </c>
      <c r="I5" s="44">
        <v>0.40500000000000003</v>
      </c>
      <c r="J5" s="24">
        <v>0.41299999999999998</v>
      </c>
      <c r="K5" s="24">
        <v>0.42</v>
      </c>
      <c r="L5" s="24">
        <v>0.5</v>
      </c>
    </row>
    <row r="6" spans="2:12">
      <c r="B6" s="56"/>
      <c r="C6" s="18">
        <v>336</v>
      </c>
      <c r="D6" s="20">
        <v>0.40500000000000003</v>
      </c>
      <c r="E6" s="20">
        <v>0.41099999999999998</v>
      </c>
      <c r="F6" s="20">
        <v>0.40799999999999997</v>
      </c>
      <c r="G6" s="44">
        <v>0.435</v>
      </c>
      <c r="H6" s="24">
        <v>0.439</v>
      </c>
      <c r="I6" s="44">
        <v>0.439</v>
      </c>
      <c r="J6" s="24">
        <v>0.42199999999999999</v>
      </c>
      <c r="K6" s="24">
        <v>0.45900000000000002</v>
      </c>
      <c r="L6" s="24">
        <v>0.52100000000000002</v>
      </c>
    </row>
    <row r="7" spans="2:12">
      <c r="B7" s="57"/>
      <c r="C7" s="16">
        <v>720</v>
      </c>
      <c r="D7" s="21">
        <v>0.41399999999999998</v>
      </c>
      <c r="E7" s="21">
        <v>0.42299999999999999</v>
      </c>
      <c r="F7" s="40">
        <v>0.439</v>
      </c>
      <c r="G7" s="45">
        <v>0.42599999999999999</v>
      </c>
      <c r="H7" s="40">
        <v>0.433</v>
      </c>
      <c r="I7" s="46">
        <v>0.47199999999999998</v>
      </c>
      <c r="J7" s="40">
        <v>0.44700000000000001</v>
      </c>
      <c r="K7" s="40">
        <v>0.50600000000000001</v>
      </c>
      <c r="L7" s="40">
        <v>0.51400000000000001</v>
      </c>
    </row>
    <row r="8" spans="2:12">
      <c r="B8" s="55" t="s">
        <v>34</v>
      </c>
      <c r="C8" s="15">
        <v>96</v>
      </c>
      <c r="D8" s="22">
        <v>0.28000000000000003</v>
      </c>
      <c r="E8" s="23">
        <v>0.28299999999999997</v>
      </c>
      <c r="F8" s="23">
        <v>0.29199999999999998</v>
      </c>
      <c r="G8" s="43">
        <v>0.29399999999999998</v>
      </c>
      <c r="H8" s="22">
        <v>0.27100000000000002</v>
      </c>
      <c r="I8" s="44">
        <v>0.28899999999999998</v>
      </c>
      <c r="J8" s="20">
        <v>0.27400000000000002</v>
      </c>
      <c r="K8" s="24">
        <v>0.34599999999999997</v>
      </c>
      <c r="L8" s="24">
        <v>0.35799999999999998</v>
      </c>
    </row>
    <row r="9" spans="2:12">
      <c r="B9" s="56"/>
      <c r="C9" s="18">
        <v>192</v>
      </c>
      <c r="D9" s="20">
        <v>0.33400000000000002</v>
      </c>
      <c r="E9" s="20">
        <v>0.33600000000000002</v>
      </c>
      <c r="F9" s="24">
        <v>0.33900000000000002</v>
      </c>
      <c r="G9" s="24">
        <v>0.34</v>
      </c>
      <c r="H9" s="20">
        <v>0.33200000000000002</v>
      </c>
      <c r="I9" s="44">
        <v>0.38300000000000001</v>
      </c>
      <c r="J9" s="24">
        <v>0.34100000000000003</v>
      </c>
      <c r="K9" s="24">
        <v>0.42899999999999999</v>
      </c>
      <c r="L9" s="24">
        <v>0.45600000000000002</v>
      </c>
    </row>
    <row r="10" spans="2:12">
      <c r="B10" s="56"/>
      <c r="C10" s="18">
        <v>336</v>
      </c>
      <c r="D10" s="20">
        <v>0.35499999999999998</v>
      </c>
      <c r="E10" s="20">
        <v>0.35499999999999998</v>
      </c>
      <c r="F10" s="24">
        <v>0.35799999999999998</v>
      </c>
      <c r="G10" s="24">
        <v>0.36</v>
      </c>
      <c r="H10" s="20">
        <v>0.35499999999999998</v>
      </c>
      <c r="I10" s="44">
        <v>0.44800000000000001</v>
      </c>
      <c r="J10" s="20">
        <v>0.32900000000000001</v>
      </c>
      <c r="K10" s="24">
        <v>0.496</v>
      </c>
      <c r="L10" s="24">
        <v>0.48199999999999998</v>
      </c>
    </row>
    <row r="11" spans="2:12">
      <c r="B11" s="57"/>
      <c r="C11" s="16">
        <v>720</v>
      </c>
      <c r="D11" s="21">
        <v>0.379</v>
      </c>
      <c r="E11" s="40">
        <v>0.38</v>
      </c>
      <c r="F11" s="40">
        <v>0.4</v>
      </c>
      <c r="G11" s="40">
        <v>0.38300000000000001</v>
      </c>
      <c r="H11" s="21">
        <v>0.378</v>
      </c>
      <c r="I11" s="46">
        <v>0.60499999999999998</v>
      </c>
      <c r="J11" s="21">
        <v>0.379</v>
      </c>
      <c r="K11" s="40">
        <v>0.46300000000000002</v>
      </c>
      <c r="L11" s="40">
        <v>0.51500000000000001</v>
      </c>
    </row>
    <row r="12" spans="2:12">
      <c r="B12" s="55" t="s">
        <v>35</v>
      </c>
      <c r="C12" s="15">
        <v>96</v>
      </c>
      <c r="D12" s="23">
        <v>0.311</v>
      </c>
      <c r="E12" s="22">
        <v>0.308</v>
      </c>
      <c r="F12" s="23">
        <v>0.311</v>
      </c>
      <c r="G12" s="23">
        <v>0.314</v>
      </c>
      <c r="H12" s="23">
        <v>0.313</v>
      </c>
      <c r="I12" s="19">
        <v>0.29899999999999999</v>
      </c>
      <c r="J12" s="20">
        <v>0.29299999999999998</v>
      </c>
      <c r="K12" s="24">
        <v>0.379</v>
      </c>
      <c r="L12" s="24">
        <v>0.505</v>
      </c>
    </row>
    <row r="13" spans="2:12">
      <c r="B13" s="56"/>
      <c r="C13" s="18">
        <v>192</v>
      </c>
      <c r="D13" s="24" t="s">
        <v>13</v>
      </c>
      <c r="E13" s="20">
        <v>0.33700000000000002</v>
      </c>
      <c r="F13" s="24">
        <v>0.33800000000000002</v>
      </c>
      <c r="G13" s="24">
        <v>0.34799999999999998</v>
      </c>
      <c r="H13" s="24">
        <v>0.33900000000000002</v>
      </c>
      <c r="I13" s="19">
        <v>0.33500000000000002</v>
      </c>
      <c r="J13" s="20">
        <v>0.33300000000000002</v>
      </c>
      <c r="K13" s="24">
        <v>0.42599999999999999</v>
      </c>
      <c r="L13" s="24">
        <v>0.55300000000000005</v>
      </c>
    </row>
    <row r="14" spans="2:12">
      <c r="B14" s="56"/>
      <c r="C14" s="18">
        <v>336</v>
      </c>
      <c r="D14" s="20" t="s">
        <v>130</v>
      </c>
      <c r="E14" s="20">
        <v>0.36499999999999999</v>
      </c>
      <c r="F14" s="20">
        <v>0.36399999999999999</v>
      </c>
      <c r="G14" s="24">
        <v>0.36799999999999999</v>
      </c>
      <c r="H14" s="20">
        <v>0.36699999999999999</v>
      </c>
      <c r="I14" s="44">
        <v>0.36899999999999999</v>
      </c>
      <c r="J14" s="24">
        <v>0.36899999999999999</v>
      </c>
      <c r="K14" s="24">
        <v>0.44500000000000001</v>
      </c>
      <c r="L14" s="24">
        <v>0.621</v>
      </c>
    </row>
    <row r="15" spans="2:12">
      <c r="B15" s="57"/>
      <c r="C15" s="16">
        <v>720</v>
      </c>
      <c r="D15" s="21" t="s">
        <v>131</v>
      </c>
      <c r="E15" s="21">
        <v>0.41499999999999998</v>
      </c>
      <c r="F15" s="21">
        <v>0.41299999999999998</v>
      </c>
      <c r="G15" s="40">
        <v>0.41899999999999998</v>
      </c>
      <c r="H15" s="40">
        <v>0.41699999999999998</v>
      </c>
      <c r="I15" s="46">
        <v>0.42499999999999999</v>
      </c>
      <c r="J15" s="21">
        <v>0.41599999999999998</v>
      </c>
      <c r="K15" s="40">
        <v>0.54300000000000004</v>
      </c>
      <c r="L15" s="40">
        <v>0.67100000000000004</v>
      </c>
    </row>
    <row r="16" spans="2:12">
      <c r="B16" s="55" t="s">
        <v>36</v>
      </c>
      <c r="C16" s="15">
        <v>96</v>
      </c>
      <c r="D16" s="22" t="s">
        <v>132</v>
      </c>
      <c r="E16" s="22">
        <v>0.16500000000000001</v>
      </c>
      <c r="F16" s="22">
        <v>0.16200000000000001</v>
      </c>
      <c r="G16" s="23">
        <v>0.16700000000000001</v>
      </c>
      <c r="H16" s="23">
        <v>0.16600000000000001</v>
      </c>
      <c r="I16" s="44">
        <v>0.16700000000000001</v>
      </c>
      <c r="J16" s="24">
        <v>0.16600000000000001</v>
      </c>
      <c r="K16" s="24">
        <v>0.20300000000000001</v>
      </c>
      <c r="L16" s="24">
        <v>0.255</v>
      </c>
    </row>
    <row r="17" spans="2:12">
      <c r="B17" s="56"/>
      <c r="C17" s="18">
        <v>192</v>
      </c>
      <c r="D17" s="20" t="s">
        <v>133</v>
      </c>
      <c r="E17" s="24">
        <v>0.219</v>
      </c>
      <c r="F17" s="42">
        <v>0.218</v>
      </c>
      <c r="G17" s="24">
        <v>0.219</v>
      </c>
      <c r="H17" s="42">
        <v>0.218</v>
      </c>
      <c r="I17" s="44">
        <v>0.224</v>
      </c>
      <c r="J17" s="24">
        <v>0.223</v>
      </c>
      <c r="K17" s="24">
        <v>0.26900000000000002</v>
      </c>
      <c r="L17" s="24">
        <v>0.28100000000000003</v>
      </c>
    </row>
    <row r="18" spans="2:12">
      <c r="B18" s="56"/>
      <c r="C18" s="18">
        <v>336</v>
      </c>
      <c r="D18" s="20" t="s">
        <v>134</v>
      </c>
      <c r="E18" s="20">
        <v>0.26900000000000002</v>
      </c>
      <c r="F18" s="42">
        <v>0.27</v>
      </c>
      <c r="G18" s="24">
        <v>0.27100000000000002</v>
      </c>
      <c r="H18" s="24">
        <v>0.27100000000000002</v>
      </c>
      <c r="I18" s="44">
        <v>0.28100000000000003</v>
      </c>
      <c r="J18" s="24">
        <v>0.27400000000000002</v>
      </c>
      <c r="K18" s="24">
        <v>0.32500000000000001</v>
      </c>
      <c r="L18" s="24">
        <v>0.33900000000000002</v>
      </c>
    </row>
    <row r="19" spans="2:12">
      <c r="B19" s="57"/>
      <c r="C19" s="16">
        <v>720</v>
      </c>
      <c r="D19" s="21" t="s">
        <v>135</v>
      </c>
      <c r="E19" s="41">
        <v>0.35099999999999998</v>
      </c>
      <c r="F19" s="41">
        <v>0.35199999999999998</v>
      </c>
      <c r="G19" s="40">
        <v>0.35299999999999998</v>
      </c>
      <c r="H19" s="41">
        <v>0.35199999999999998</v>
      </c>
      <c r="I19" s="46">
        <v>0.39700000000000002</v>
      </c>
      <c r="J19" s="40">
        <v>0.36199999999999999</v>
      </c>
      <c r="K19" s="40">
        <v>0.42099999999999999</v>
      </c>
      <c r="L19" s="40">
        <v>0.433</v>
      </c>
    </row>
    <row r="20" spans="2:12">
      <c r="B20" s="55" t="s">
        <v>7</v>
      </c>
      <c r="C20" s="15">
        <v>96</v>
      </c>
      <c r="D20" s="22">
        <v>0.16700000000000001</v>
      </c>
      <c r="E20" s="23">
        <v>0.17</v>
      </c>
      <c r="F20" s="22">
        <v>0.14599999999999999</v>
      </c>
      <c r="G20" s="23">
        <v>0.17399999999999999</v>
      </c>
      <c r="H20" s="23">
        <v>0.17599999999999999</v>
      </c>
      <c r="I20" s="44">
        <v>0.17599999999999999</v>
      </c>
      <c r="J20" s="20">
        <v>0.14899999999999999</v>
      </c>
      <c r="K20" s="24">
        <v>0.217</v>
      </c>
      <c r="L20" s="24">
        <v>0.26600000000000001</v>
      </c>
    </row>
    <row r="21" spans="2:12">
      <c r="B21" s="56"/>
      <c r="C21" s="18">
        <v>192</v>
      </c>
      <c r="D21" s="24">
        <v>0.21299999999999999</v>
      </c>
      <c r="E21" s="20">
        <v>0.21199999999999999</v>
      </c>
      <c r="F21" s="20">
        <v>0.185</v>
      </c>
      <c r="G21" s="24">
        <v>0.216</v>
      </c>
      <c r="H21" s="24">
        <v>0.216</v>
      </c>
      <c r="I21" s="24">
        <v>0.22</v>
      </c>
      <c r="J21" s="20">
        <v>0.19400000000000001</v>
      </c>
      <c r="K21" s="24">
        <v>0.27600000000000002</v>
      </c>
      <c r="L21" s="24">
        <v>0.307</v>
      </c>
    </row>
    <row r="22" spans="2:12">
      <c r="B22" s="56"/>
      <c r="C22" s="18">
        <v>336</v>
      </c>
      <c r="D22" s="24">
        <v>0.26100000000000001</v>
      </c>
      <c r="E22" s="20">
        <v>0.25700000000000001</v>
      </c>
      <c r="F22" s="20">
        <v>0.23599999999999999</v>
      </c>
      <c r="G22" s="24">
        <v>0.26</v>
      </c>
      <c r="H22" s="24">
        <v>0.26100000000000001</v>
      </c>
      <c r="I22" s="24">
        <v>0.26500000000000001</v>
      </c>
      <c r="J22" s="20">
        <v>0.245</v>
      </c>
      <c r="K22" s="24">
        <v>0.33900000000000002</v>
      </c>
      <c r="L22" s="24">
        <v>0.35899999999999999</v>
      </c>
    </row>
    <row r="23" spans="2:12">
      <c r="B23" s="57"/>
      <c r="C23" s="16">
        <v>720</v>
      </c>
      <c r="D23" s="21">
        <v>0.32100000000000001</v>
      </c>
      <c r="E23" s="40">
        <v>0.32100000000000001</v>
      </c>
      <c r="F23" s="21">
        <v>0.309</v>
      </c>
      <c r="G23" s="40">
        <v>0.32500000000000001</v>
      </c>
      <c r="H23" s="40">
        <v>0.32500000000000001</v>
      </c>
      <c r="I23" s="40">
        <v>0.32300000000000001</v>
      </c>
      <c r="J23" s="21">
        <v>0.314</v>
      </c>
      <c r="K23" s="40">
        <v>0.40300000000000002</v>
      </c>
      <c r="L23" s="40">
        <v>0.41899999999999998</v>
      </c>
    </row>
    <row r="24" spans="2:12">
      <c r="B24" s="55" t="s">
        <v>4</v>
      </c>
      <c r="C24" s="15">
        <v>96</v>
      </c>
      <c r="D24" s="23">
        <v>0.14000000000000001</v>
      </c>
      <c r="E24" s="22">
        <v>0.13800000000000001</v>
      </c>
      <c r="F24" s="22">
        <v>0.13900000000000001</v>
      </c>
      <c r="G24" s="22">
        <v>0.13900000000000001</v>
      </c>
      <c r="H24" s="23">
        <v>0.14699999999999999</v>
      </c>
      <c r="I24" s="24">
        <v>0.14000000000000001</v>
      </c>
      <c r="J24" s="20">
        <v>0.129</v>
      </c>
      <c r="K24" s="24">
        <v>0.193</v>
      </c>
      <c r="L24" s="24">
        <v>0.20100000000000001</v>
      </c>
    </row>
    <row r="25" spans="2:12">
      <c r="B25" s="56"/>
      <c r="C25" s="18">
        <v>192</v>
      </c>
      <c r="D25" s="20">
        <v>0.152</v>
      </c>
      <c r="E25" s="24">
        <v>0.154</v>
      </c>
      <c r="F25" s="20">
        <v>0.153</v>
      </c>
      <c r="G25" s="24">
        <v>0.155</v>
      </c>
      <c r="H25" s="24">
        <v>0.159</v>
      </c>
      <c r="I25" s="20">
        <v>0.153</v>
      </c>
      <c r="J25" s="20">
        <v>0.14699999999999999</v>
      </c>
      <c r="K25" s="24">
        <v>0.20100000000000001</v>
      </c>
      <c r="L25" s="24">
        <v>0.222</v>
      </c>
    </row>
    <row r="26" spans="2:12">
      <c r="B26" s="56"/>
      <c r="C26" s="18">
        <v>336</v>
      </c>
      <c r="D26" s="20">
        <v>0.16700000000000001</v>
      </c>
      <c r="E26" s="24">
        <v>0.17</v>
      </c>
      <c r="F26" s="20">
        <v>0.16900000000000001</v>
      </c>
      <c r="G26" s="24">
        <v>0.17100000000000001</v>
      </c>
      <c r="H26" s="20">
        <v>0.16900000000000001</v>
      </c>
      <c r="I26" s="20">
        <v>0.16900000000000001</v>
      </c>
      <c r="J26" s="20">
        <v>0.16300000000000001</v>
      </c>
      <c r="K26" s="24">
        <v>0.214</v>
      </c>
      <c r="L26" s="24">
        <v>0.23100000000000001</v>
      </c>
    </row>
    <row r="27" spans="2:12">
      <c r="B27" s="57"/>
      <c r="C27" s="16">
        <v>720</v>
      </c>
      <c r="D27" s="21">
        <v>0.20599999999999999</v>
      </c>
      <c r="E27" s="40">
        <v>0.20899999999999999</v>
      </c>
      <c r="F27" s="40">
        <v>0.20699999999999999</v>
      </c>
      <c r="G27" s="40">
        <v>0.20799999999999999</v>
      </c>
      <c r="H27" s="40">
        <v>0.214</v>
      </c>
      <c r="I27" s="21">
        <v>0.20300000000000001</v>
      </c>
      <c r="J27" s="21">
        <v>0.19700000000000001</v>
      </c>
      <c r="K27" s="40">
        <v>0.246</v>
      </c>
      <c r="L27" s="40">
        <v>0.254</v>
      </c>
    </row>
    <row r="28" spans="2:12">
      <c r="B28" s="52" t="s">
        <v>62</v>
      </c>
      <c r="C28" s="15">
        <v>96</v>
      </c>
      <c r="D28" s="24">
        <v>0.39400000000000002</v>
      </c>
      <c r="E28" s="20">
        <v>0.38900000000000001</v>
      </c>
      <c r="F28" s="24">
        <v>0.39400000000000002</v>
      </c>
      <c r="G28" s="20">
        <v>0.38900000000000001</v>
      </c>
      <c r="H28" s="44">
        <v>0.40200000000000002</v>
      </c>
      <c r="I28" s="24">
        <v>0.41</v>
      </c>
      <c r="J28" s="20">
        <v>0.36</v>
      </c>
      <c r="K28" s="24">
        <v>0.58699999999999997</v>
      </c>
      <c r="L28" s="24">
        <v>0.61299999999999999</v>
      </c>
    </row>
    <row r="29" spans="2:12">
      <c r="B29" s="53"/>
      <c r="C29" s="18">
        <v>192</v>
      </c>
      <c r="D29" s="20">
        <v>0.40200000000000002</v>
      </c>
      <c r="E29" s="24">
        <v>0.40300000000000002</v>
      </c>
      <c r="F29" s="24">
        <v>0.40300000000000002</v>
      </c>
      <c r="G29" s="20">
        <v>0.39900000000000002</v>
      </c>
      <c r="H29" s="44">
        <v>0.41899999999999998</v>
      </c>
      <c r="I29" s="24">
        <v>0.42299999999999999</v>
      </c>
      <c r="J29" s="20">
        <v>0.379</v>
      </c>
      <c r="K29" s="24">
        <v>0.60399999999999998</v>
      </c>
      <c r="L29" s="24">
        <v>0.61599999999999999</v>
      </c>
    </row>
    <row r="30" spans="2:12">
      <c r="B30" s="53"/>
      <c r="C30" s="18">
        <v>336</v>
      </c>
      <c r="D30" s="20">
        <v>0.41399999999999998</v>
      </c>
      <c r="E30" s="20">
        <v>0.41599999999999998</v>
      </c>
      <c r="F30" s="24">
        <v>0.41699999999999998</v>
      </c>
      <c r="G30" s="24">
        <v>0.41699999999999998</v>
      </c>
      <c r="H30" s="44">
        <v>0.42299999999999999</v>
      </c>
      <c r="I30" s="24">
        <v>0.436</v>
      </c>
      <c r="J30" s="20">
        <v>0.39200000000000002</v>
      </c>
      <c r="K30" s="24">
        <v>0.621</v>
      </c>
      <c r="L30" s="24">
        <v>0.622</v>
      </c>
    </row>
    <row r="31" spans="2:12">
      <c r="B31" s="54"/>
      <c r="C31" s="16">
        <v>720</v>
      </c>
      <c r="D31" s="20">
        <v>0.45200000000000001</v>
      </c>
      <c r="E31" s="20">
        <v>0.45200000000000001</v>
      </c>
      <c r="F31" s="24">
        <v>0.45600000000000002</v>
      </c>
      <c r="G31" s="20">
        <v>0.44900000000000001</v>
      </c>
      <c r="H31" s="44">
        <v>0.45900000000000002</v>
      </c>
      <c r="I31" s="40">
        <v>0.46600000000000003</v>
      </c>
      <c r="J31" s="21">
        <v>0.432</v>
      </c>
      <c r="K31" s="40">
        <v>0.626</v>
      </c>
      <c r="L31" s="40">
        <v>0.66</v>
      </c>
    </row>
    <row r="32" spans="2:12">
      <c r="B32" s="55" t="s">
        <v>61</v>
      </c>
      <c r="C32" s="15">
        <v>96</v>
      </c>
      <c r="D32" s="22" t="s">
        <v>136</v>
      </c>
      <c r="E32" s="23">
        <v>0.21099999999999999</v>
      </c>
      <c r="F32" s="22">
        <v>0.192</v>
      </c>
      <c r="G32" s="23">
        <v>0.20499999999999999</v>
      </c>
      <c r="H32" s="43">
        <v>0.218</v>
      </c>
      <c r="I32" s="42">
        <v>0.2</v>
      </c>
      <c r="J32" s="24">
        <v>0.26500000000000001</v>
      </c>
      <c r="K32" s="24">
        <v>0.28599999999999998</v>
      </c>
      <c r="L32" s="24">
        <v>0.58899999999999997</v>
      </c>
    </row>
    <row r="33" spans="2:12">
      <c r="B33" s="56"/>
      <c r="C33" s="18">
        <v>192</v>
      </c>
      <c r="D33" s="20" t="s">
        <v>137</v>
      </c>
      <c r="E33" s="24">
        <v>0.22700000000000001</v>
      </c>
      <c r="F33" s="20">
        <v>0.21299999999999999</v>
      </c>
      <c r="G33" s="20">
        <v>0.215</v>
      </c>
      <c r="H33" s="19">
        <v>0.20699999999999999</v>
      </c>
      <c r="I33" s="24">
        <v>0.23899999999999999</v>
      </c>
      <c r="J33" s="24">
        <v>0.28799999999999998</v>
      </c>
      <c r="K33" s="24">
        <v>0.29099999999999998</v>
      </c>
      <c r="L33" s="24">
        <v>0.71399999999999997</v>
      </c>
    </row>
    <row r="34" spans="2:12">
      <c r="B34" s="56"/>
      <c r="C34" s="18">
        <v>336</v>
      </c>
      <c r="D34" s="24" t="s">
        <v>138</v>
      </c>
      <c r="E34" s="24">
        <v>0.24</v>
      </c>
      <c r="F34" s="20">
        <v>0.222</v>
      </c>
      <c r="G34" s="20">
        <v>0.21299999999999999</v>
      </c>
      <c r="H34" s="19">
        <v>0.22900000000000001</v>
      </c>
      <c r="I34" s="24">
        <v>0.23100000000000001</v>
      </c>
      <c r="J34" s="24">
        <v>0.30099999999999999</v>
      </c>
      <c r="K34" s="24">
        <v>0.35399999999999998</v>
      </c>
      <c r="L34" s="24">
        <v>0.82899999999999996</v>
      </c>
    </row>
    <row r="35" spans="2:12">
      <c r="B35" s="57"/>
      <c r="C35" s="16">
        <v>720</v>
      </c>
      <c r="D35" s="25">
        <v>0.23899999999999999</v>
      </c>
      <c r="E35" s="40">
        <v>0.24</v>
      </c>
      <c r="F35" s="21">
        <v>0.23499999999999999</v>
      </c>
      <c r="G35" s="21">
        <v>0.23200000000000001</v>
      </c>
      <c r="H35" s="46">
        <v>0.26100000000000001</v>
      </c>
      <c r="I35" s="21">
        <v>0.23699999999999999</v>
      </c>
      <c r="J35" s="40">
        <v>0.29499999999999998</v>
      </c>
      <c r="K35" s="40">
        <v>0.38</v>
      </c>
      <c r="L35" s="40">
        <v>0.71199999999999997</v>
      </c>
    </row>
    <row r="36" spans="2:12">
      <c r="B36" s="58" t="s">
        <v>37</v>
      </c>
      <c r="C36" s="58"/>
      <c r="D36" s="26">
        <v>24</v>
      </c>
      <c r="E36" s="26">
        <v>19</v>
      </c>
      <c r="F36" s="26">
        <v>20</v>
      </c>
      <c r="G36" s="26">
        <v>8</v>
      </c>
      <c r="H36" s="26">
        <v>10</v>
      </c>
      <c r="I36" s="27">
        <v>7</v>
      </c>
      <c r="J36" s="27">
        <v>18</v>
      </c>
      <c r="K36" s="27">
        <v>0</v>
      </c>
      <c r="L36" s="27">
        <v>0</v>
      </c>
    </row>
  </sheetData>
  <mergeCells count="19">
    <mergeCell ref="I2:I3"/>
    <mergeCell ref="J2:J3"/>
    <mergeCell ref="K2:K3"/>
    <mergeCell ref="L2:L3"/>
    <mergeCell ref="B2:C3"/>
    <mergeCell ref="D2:D3"/>
    <mergeCell ref="E2:E3"/>
    <mergeCell ref="F2:F3"/>
    <mergeCell ref="G2:G3"/>
    <mergeCell ref="H2:H3"/>
    <mergeCell ref="B28:B31"/>
    <mergeCell ref="B32:B35"/>
    <mergeCell ref="B36:C36"/>
    <mergeCell ref="B4:B7"/>
    <mergeCell ref="B8:B11"/>
    <mergeCell ref="B12:B15"/>
    <mergeCell ref="B16:B19"/>
    <mergeCell ref="B20:B23"/>
    <mergeCell ref="B24:B2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A5C9-F32E-45E5-94C4-A75961116DC4}">
  <dimension ref="B1:Q22"/>
  <sheetViews>
    <sheetView tabSelected="1" zoomScale="115" zoomScaleNormal="115" workbookViewId="0">
      <selection activeCell="T18" sqref="T18"/>
    </sheetView>
  </sheetViews>
  <sheetFormatPr defaultRowHeight="16.5"/>
  <cols>
    <col min="2" max="2" width="9.5" bestFit="1" customWidth="1"/>
    <col min="3" max="4" width="10" customWidth="1"/>
    <col min="5" max="5" width="9.875" bestFit="1" customWidth="1"/>
    <col min="6" max="6" width="9.875" customWidth="1"/>
    <col min="7" max="18" width="10.625" customWidth="1"/>
  </cols>
  <sheetData>
    <row r="1" spans="2:17">
      <c r="B1" s="12"/>
      <c r="C1" s="12"/>
      <c r="D1" s="12"/>
      <c r="E1" s="12"/>
      <c r="F1" s="13"/>
      <c r="G1" s="12"/>
      <c r="H1" s="14"/>
    </row>
    <row r="2" spans="2:17">
      <c r="B2" s="68" t="s">
        <v>31</v>
      </c>
      <c r="C2" s="65"/>
      <c r="D2" s="74" t="s">
        <v>9</v>
      </c>
      <c r="E2" s="65"/>
      <c r="F2" s="74" t="s">
        <v>30</v>
      </c>
      <c r="G2" s="65"/>
      <c r="H2" s="74" t="s">
        <v>1</v>
      </c>
      <c r="I2" s="65"/>
      <c r="J2" s="74" t="s">
        <v>0</v>
      </c>
      <c r="K2" s="68"/>
      <c r="L2" s="74" t="s">
        <v>33</v>
      </c>
      <c r="M2" s="65"/>
      <c r="N2" s="74" t="s">
        <v>75</v>
      </c>
      <c r="O2" s="68"/>
      <c r="P2" s="74" t="s">
        <v>32</v>
      </c>
      <c r="Q2" s="68"/>
    </row>
    <row r="3" spans="2:17">
      <c r="B3" s="70"/>
      <c r="C3" s="67"/>
      <c r="D3" s="75"/>
      <c r="E3" s="67"/>
      <c r="F3" s="75"/>
      <c r="G3" s="67"/>
      <c r="H3" s="75"/>
      <c r="I3" s="67"/>
      <c r="J3" s="75"/>
      <c r="K3" s="70"/>
      <c r="L3" s="75"/>
      <c r="M3" s="67"/>
      <c r="N3" s="75"/>
      <c r="O3" s="70"/>
      <c r="P3" s="75"/>
      <c r="Q3" s="70"/>
    </row>
    <row r="4" spans="2:17">
      <c r="B4" s="76" t="s">
        <v>29</v>
      </c>
      <c r="C4" s="76"/>
      <c r="D4" s="6" t="s">
        <v>5</v>
      </c>
      <c r="E4" s="4" t="s">
        <v>6</v>
      </c>
      <c r="F4" s="6" t="s">
        <v>5</v>
      </c>
      <c r="G4" s="4" t="s">
        <v>6</v>
      </c>
      <c r="H4" s="6" t="s">
        <v>5</v>
      </c>
      <c r="I4" s="4" t="s">
        <v>6</v>
      </c>
      <c r="J4" s="6" t="s">
        <v>5</v>
      </c>
      <c r="K4" s="4" t="s">
        <v>6</v>
      </c>
      <c r="L4" s="6" t="s">
        <v>5</v>
      </c>
      <c r="M4" s="4" t="s">
        <v>6</v>
      </c>
      <c r="N4" s="6" t="s">
        <v>5</v>
      </c>
      <c r="O4" s="4" t="s">
        <v>6</v>
      </c>
      <c r="P4" s="6" t="s">
        <v>5</v>
      </c>
      <c r="Q4" s="4" t="s">
        <v>6</v>
      </c>
    </row>
    <row r="5" spans="2:17">
      <c r="B5" s="69" t="s">
        <v>3</v>
      </c>
      <c r="C5" s="8">
        <v>96</v>
      </c>
      <c r="D5" s="28">
        <v>45</v>
      </c>
      <c r="E5" s="29" t="s">
        <v>27</v>
      </c>
      <c r="F5" s="34">
        <v>59</v>
      </c>
      <c r="G5" s="7" t="s">
        <v>10</v>
      </c>
      <c r="H5" s="9">
        <v>214</v>
      </c>
      <c r="I5" s="38" t="s">
        <v>15</v>
      </c>
      <c r="J5" s="9">
        <v>145</v>
      </c>
      <c r="K5" s="7" t="s">
        <v>18</v>
      </c>
      <c r="L5" s="3" t="s">
        <v>128</v>
      </c>
      <c r="M5" s="7" t="s">
        <v>64</v>
      </c>
      <c r="N5" s="9" t="s">
        <v>92</v>
      </c>
      <c r="O5" s="7" t="s">
        <v>93</v>
      </c>
      <c r="P5" s="9" t="s">
        <v>107</v>
      </c>
      <c r="Q5" s="7" t="s">
        <v>108</v>
      </c>
    </row>
    <row r="6" spans="2:17">
      <c r="B6" s="69"/>
      <c r="C6" s="10">
        <v>192</v>
      </c>
      <c r="D6" s="28">
        <v>53</v>
      </c>
      <c r="E6" s="29" t="s">
        <v>28</v>
      </c>
      <c r="F6" s="34">
        <v>87</v>
      </c>
      <c r="G6" s="7" t="s">
        <v>46</v>
      </c>
      <c r="H6" s="9">
        <v>242</v>
      </c>
      <c r="I6" s="38" t="s">
        <v>48</v>
      </c>
      <c r="J6" s="9">
        <v>265</v>
      </c>
      <c r="K6" s="7" t="s">
        <v>19</v>
      </c>
      <c r="L6" s="9" t="s">
        <v>127</v>
      </c>
      <c r="M6" s="7" t="s">
        <v>65</v>
      </c>
      <c r="N6" s="9" t="s">
        <v>94</v>
      </c>
      <c r="O6" s="7" t="s">
        <v>95</v>
      </c>
      <c r="P6" s="9" t="s">
        <v>109</v>
      </c>
      <c r="Q6" s="7" t="s">
        <v>79</v>
      </c>
    </row>
    <row r="7" spans="2:17">
      <c r="B7" s="69"/>
      <c r="C7" s="10">
        <v>336</v>
      </c>
      <c r="D7" s="28">
        <v>65</v>
      </c>
      <c r="E7" s="29" t="s">
        <v>26</v>
      </c>
      <c r="F7" s="34">
        <v>105</v>
      </c>
      <c r="G7" s="7" t="s">
        <v>47</v>
      </c>
      <c r="H7" s="9">
        <v>284</v>
      </c>
      <c r="I7" s="38" t="s">
        <v>16</v>
      </c>
      <c r="J7" s="9">
        <v>445</v>
      </c>
      <c r="K7" s="7" t="s">
        <v>20</v>
      </c>
      <c r="L7" s="9" t="s">
        <v>125</v>
      </c>
      <c r="M7" s="7" t="s">
        <v>66</v>
      </c>
      <c r="N7" s="9" t="s">
        <v>96</v>
      </c>
      <c r="O7" s="7" t="s">
        <v>97</v>
      </c>
      <c r="P7" s="9" t="s">
        <v>110</v>
      </c>
      <c r="Q7" s="7" t="s">
        <v>111</v>
      </c>
    </row>
    <row r="8" spans="2:17">
      <c r="B8" s="70"/>
      <c r="C8" s="11">
        <v>720</v>
      </c>
      <c r="D8" s="30">
        <v>97</v>
      </c>
      <c r="E8" s="31" t="s">
        <v>25</v>
      </c>
      <c r="F8" s="35">
        <v>195</v>
      </c>
      <c r="G8" s="4" t="s">
        <v>14</v>
      </c>
      <c r="H8" s="5">
        <v>396</v>
      </c>
      <c r="I8" s="36" t="s">
        <v>17</v>
      </c>
      <c r="J8" s="5">
        <v>925</v>
      </c>
      <c r="K8" s="4" t="s">
        <v>21</v>
      </c>
      <c r="L8" s="5" t="s">
        <v>126</v>
      </c>
      <c r="M8" s="4" t="s">
        <v>67</v>
      </c>
      <c r="N8" s="5" t="s">
        <v>98</v>
      </c>
      <c r="O8" s="4" t="s">
        <v>8</v>
      </c>
      <c r="P8" s="5" t="s">
        <v>112</v>
      </c>
      <c r="Q8" s="4" t="s">
        <v>113</v>
      </c>
    </row>
    <row r="9" spans="2:17">
      <c r="B9" s="65" t="s">
        <v>34</v>
      </c>
      <c r="C9" s="8">
        <v>96</v>
      </c>
      <c r="D9" s="32">
        <v>51</v>
      </c>
      <c r="E9" s="33" t="s">
        <v>22</v>
      </c>
      <c r="F9" s="34">
        <v>95</v>
      </c>
      <c r="G9" s="7" t="s">
        <v>81</v>
      </c>
      <c r="H9" s="3">
        <v>214</v>
      </c>
      <c r="I9" s="39" t="s">
        <v>15</v>
      </c>
      <c r="J9" s="3">
        <v>145</v>
      </c>
      <c r="K9" s="2" t="s">
        <v>18</v>
      </c>
      <c r="L9" s="3" t="s">
        <v>128</v>
      </c>
      <c r="M9" s="7" t="s">
        <v>64</v>
      </c>
      <c r="N9" s="9" t="s">
        <v>92</v>
      </c>
      <c r="O9" s="7" t="s">
        <v>93</v>
      </c>
      <c r="P9" s="9" t="s">
        <v>107</v>
      </c>
      <c r="Q9" s="7" t="s">
        <v>108</v>
      </c>
    </row>
    <row r="10" spans="2:17">
      <c r="B10" s="66"/>
      <c r="C10" s="10">
        <v>192</v>
      </c>
      <c r="D10" s="28">
        <v>91</v>
      </c>
      <c r="E10" s="38" t="s">
        <v>23</v>
      </c>
      <c r="F10" s="34">
        <v>115</v>
      </c>
      <c r="G10" s="7" t="s">
        <v>82</v>
      </c>
      <c r="H10" s="9">
        <v>164</v>
      </c>
      <c r="I10" s="29" t="s">
        <v>11</v>
      </c>
      <c r="J10" s="9">
        <v>265</v>
      </c>
      <c r="K10" s="7" t="s">
        <v>19</v>
      </c>
      <c r="L10" s="9" t="s">
        <v>127</v>
      </c>
      <c r="M10" s="7" t="s">
        <v>65</v>
      </c>
      <c r="N10" s="9" t="s">
        <v>94</v>
      </c>
      <c r="O10" s="7" t="s">
        <v>95</v>
      </c>
      <c r="P10" s="9" t="s">
        <v>109</v>
      </c>
      <c r="Q10" s="7" t="s">
        <v>79</v>
      </c>
    </row>
    <row r="11" spans="2:17">
      <c r="B11" s="66"/>
      <c r="C11" s="10">
        <v>336</v>
      </c>
      <c r="D11" s="28">
        <v>79</v>
      </c>
      <c r="E11" s="29" t="s">
        <v>12</v>
      </c>
      <c r="F11" s="34">
        <v>131</v>
      </c>
      <c r="G11" s="7" t="s">
        <v>83</v>
      </c>
      <c r="H11" s="9">
        <v>284</v>
      </c>
      <c r="I11" s="38" t="s">
        <v>16</v>
      </c>
      <c r="J11" s="9">
        <v>445</v>
      </c>
      <c r="K11" s="7" t="s">
        <v>20</v>
      </c>
      <c r="L11" s="9" t="s">
        <v>125</v>
      </c>
      <c r="M11" s="7" t="s">
        <v>66</v>
      </c>
      <c r="N11" s="9" t="s">
        <v>96</v>
      </c>
      <c r="O11" s="7" t="s">
        <v>97</v>
      </c>
      <c r="P11" s="9" t="s">
        <v>110</v>
      </c>
      <c r="Q11" s="7" t="s">
        <v>111</v>
      </c>
    </row>
    <row r="12" spans="2:17">
      <c r="B12" s="67"/>
      <c r="C12" s="11">
        <v>720</v>
      </c>
      <c r="D12" s="35">
        <v>363</v>
      </c>
      <c r="E12" s="36" t="s">
        <v>24</v>
      </c>
      <c r="F12" s="30">
        <v>195</v>
      </c>
      <c r="G12" s="4" t="s">
        <v>14</v>
      </c>
      <c r="H12" s="5">
        <v>396</v>
      </c>
      <c r="I12" s="31" t="s">
        <v>17</v>
      </c>
      <c r="J12" s="5">
        <v>925</v>
      </c>
      <c r="K12" s="4" t="s">
        <v>21</v>
      </c>
      <c r="L12" s="5" t="s">
        <v>126</v>
      </c>
      <c r="M12" s="4" t="s">
        <v>67</v>
      </c>
      <c r="N12" s="5" t="s">
        <v>98</v>
      </c>
      <c r="O12" s="4" t="s">
        <v>8</v>
      </c>
      <c r="P12" s="5" t="s">
        <v>112</v>
      </c>
      <c r="Q12" s="4" t="s">
        <v>113</v>
      </c>
    </row>
    <row r="13" spans="2:17">
      <c r="B13" s="68" t="s">
        <v>4</v>
      </c>
      <c r="C13" s="8">
        <v>96</v>
      </c>
      <c r="D13" s="32">
        <v>45</v>
      </c>
      <c r="E13" s="33" t="s">
        <v>38</v>
      </c>
      <c r="F13" s="37">
        <v>87</v>
      </c>
      <c r="G13" s="2" t="s">
        <v>84</v>
      </c>
      <c r="H13" s="3">
        <v>214</v>
      </c>
      <c r="I13" s="39" t="s">
        <v>49</v>
      </c>
      <c r="J13" s="3">
        <v>145</v>
      </c>
      <c r="K13" s="2" t="s">
        <v>42</v>
      </c>
      <c r="L13" s="3" t="s">
        <v>128</v>
      </c>
      <c r="M13" s="2" t="s">
        <v>129</v>
      </c>
      <c r="N13" s="9" t="s">
        <v>92</v>
      </c>
      <c r="O13" s="2" t="s">
        <v>99</v>
      </c>
      <c r="P13" s="3" t="s">
        <v>114</v>
      </c>
      <c r="Q13" s="2" t="s">
        <v>115</v>
      </c>
    </row>
    <row r="14" spans="2:17">
      <c r="B14" s="69"/>
      <c r="C14" s="10">
        <v>192</v>
      </c>
      <c r="D14" s="28">
        <v>81</v>
      </c>
      <c r="E14" s="29" t="s">
        <v>39</v>
      </c>
      <c r="F14" s="34">
        <v>125</v>
      </c>
      <c r="G14" s="7" t="s">
        <v>85</v>
      </c>
      <c r="H14" s="9">
        <v>242</v>
      </c>
      <c r="I14" s="38" t="s">
        <v>50</v>
      </c>
      <c r="J14" s="9">
        <v>265</v>
      </c>
      <c r="K14" s="7" t="s">
        <v>43</v>
      </c>
      <c r="L14" s="9" t="s">
        <v>127</v>
      </c>
      <c r="M14" s="7" t="s">
        <v>68</v>
      </c>
      <c r="N14" s="9" t="s">
        <v>94</v>
      </c>
      <c r="O14" s="7" t="s">
        <v>100</v>
      </c>
      <c r="P14" s="9" t="s">
        <v>116</v>
      </c>
      <c r="Q14" s="7" t="s">
        <v>117</v>
      </c>
    </row>
    <row r="15" spans="2:17">
      <c r="B15" s="69"/>
      <c r="C15" s="10">
        <v>336</v>
      </c>
      <c r="D15" s="34">
        <v>135</v>
      </c>
      <c r="E15" s="29" t="s">
        <v>40</v>
      </c>
      <c r="F15" s="28">
        <v>131</v>
      </c>
      <c r="G15" s="7" t="s">
        <v>86</v>
      </c>
      <c r="H15" s="9">
        <v>284</v>
      </c>
      <c r="I15" s="38" t="s">
        <v>51</v>
      </c>
      <c r="J15" s="9">
        <v>445</v>
      </c>
      <c r="K15" s="7" t="s">
        <v>44</v>
      </c>
      <c r="L15" s="9" t="s">
        <v>125</v>
      </c>
      <c r="M15" s="7" t="s">
        <v>69</v>
      </c>
      <c r="N15" s="9" t="s">
        <v>96</v>
      </c>
      <c r="O15" s="7" t="s">
        <v>101</v>
      </c>
      <c r="P15" s="9" t="s">
        <v>59</v>
      </c>
      <c r="Q15" s="7" t="s">
        <v>118</v>
      </c>
    </row>
    <row r="16" spans="2:17">
      <c r="B16" s="70"/>
      <c r="C16" s="11">
        <v>720</v>
      </c>
      <c r="D16" s="35">
        <v>279</v>
      </c>
      <c r="E16" s="31" t="s">
        <v>41</v>
      </c>
      <c r="F16" s="30">
        <v>187</v>
      </c>
      <c r="G16" s="4" t="s">
        <v>87</v>
      </c>
      <c r="H16" s="5">
        <v>396</v>
      </c>
      <c r="I16" s="36" t="s">
        <v>63</v>
      </c>
      <c r="J16" s="5">
        <v>925</v>
      </c>
      <c r="K16" s="4" t="s">
        <v>45</v>
      </c>
      <c r="L16" s="5" t="s">
        <v>126</v>
      </c>
      <c r="M16" s="4" t="s">
        <v>70</v>
      </c>
      <c r="N16" s="5" t="s">
        <v>98</v>
      </c>
      <c r="O16" s="4" t="s">
        <v>102</v>
      </c>
      <c r="P16" s="5" t="s">
        <v>119</v>
      </c>
      <c r="Q16" s="4" t="s">
        <v>120</v>
      </c>
    </row>
    <row r="17" spans="2:17">
      <c r="B17" s="68" t="s">
        <v>62</v>
      </c>
      <c r="C17" s="8">
        <v>96</v>
      </c>
      <c r="D17" s="32">
        <v>45</v>
      </c>
      <c r="E17" s="33" t="s">
        <v>56</v>
      </c>
      <c r="F17" s="37">
        <v>95</v>
      </c>
      <c r="G17" s="2" t="s">
        <v>88</v>
      </c>
      <c r="H17" s="3">
        <v>214</v>
      </c>
      <c r="I17" s="39" t="s">
        <v>76</v>
      </c>
      <c r="J17" s="9">
        <v>145</v>
      </c>
      <c r="K17" s="2" t="s">
        <v>52</v>
      </c>
      <c r="L17" s="3" t="s">
        <v>128</v>
      </c>
      <c r="M17" s="2" t="s">
        <v>71</v>
      </c>
      <c r="N17" s="9" t="s">
        <v>92</v>
      </c>
      <c r="O17" s="2" t="s">
        <v>103</v>
      </c>
      <c r="P17" s="3" t="s">
        <v>114</v>
      </c>
      <c r="Q17" s="2" t="s">
        <v>121</v>
      </c>
    </row>
    <row r="18" spans="2:17">
      <c r="B18" s="69"/>
      <c r="C18" s="10">
        <v>192</v>
      </c>
      <c r="D18" s="28">
        <v>81</v>
      </c>
      <c r="E18" s="29" t="s">
        <v>57</v>
      </c>
      <c r="F18" s="34">
        <v>115</v>
      </c>
      <c r="G18" s="7" t="s">
        <v>89</v>
      </c>
      <c r="H18" s="9">
        <v>320</v>
      </c>
      <c r="I18" s="38" t="s">
        <v>77</v>
      </c>
      <c r="J18" s="9">
        <v>265</v>
      </c>
      <c r="K18" s="7" t="s">
        <v>53</v>
      </c>
      <c r="L18" s="9" t="s">
        <v>127</v>
      </c>
      <c r="M18" s="7" t="s">
        <v>72</v>
      </c>
      <c r="N18" s="9" t="s">
        <v>94</v>
      </c>
      <c r="O18" s="7" t="s">
        <v>104</v>
      </c>
      <c r="P18" s="9" t="s">
        <v>116</v>
      </c>
      <c r="Q18" s="7" t="s">
        <v>122</v>
      </c>
    </row>
    <row r="19" spans="2:17">
      <c r="B19" s="69"/>
      <c r="C19" s="10">
        <v>336</v>
      </c>
      <c r="D19" s="28">
        <v>135</v>
      </c>
      <c r="E19" s="29" t="s">
        <v>58</v>
      </c>
      <c r="F19" s="34">
        <v>139</v>
      </c>
      <c r="G19" s="7" t="s">
        <v>90</v>
      </c>
      <c r="H19" s="9">
        <v>689</v>
      </c>
      <c r="I19" s="38" t="s">
        <v>78</v>
      </c>
      <c r="J19" s="9">
        <v>445</v>
      </c>
      <c r="K19" s="7" t="s">
        <v>54</v>
      </c>
      <c r="L19" s="9" t="s">
        <v>125</v>
      </c>
      <c r="M19" s="7" t="s">
        <v>73</v>
      </c>
      <c r="N19" s="9" t="s">
        <v>96</v>
      </c>
      <c r="O19" s="7" t="s">
        <v>105</v>
      </c>
      <c r="P19" s="9" t="s">
        <v>59</v>
      </c>
      <c r="Q19" s="7" t="s">
        <v>123</v>
      </c>
    </row>
    <row r="20" spans="2:17">
      <c r="B20" s="70"/>
      <c r="C20" s="11">
        <v>720</v>
      </c>
      <c r="D20" s="35">
        <v>279</v>
      </c>
      <c r="E20" s="31" t="s">
        <v>60</v>
      </c>
      <c r="F20" s="30">
        <v>195</v>
      </c>
      <c r="G20" s="4" t="s">
        <v>91</v>
      </c>
      <c r="H20" s="5">
        <v>518</v>
      </c>
      <c r="I20" s="36" t="s">
        <v>80</v>
      </c>
      <c r="J20" s="5">
        <v>925</v>
      </c>
      <c r="K20" s="4" t="s">
        <v>55</v>
      </c>
      <c r="L20" s="5" t="s">
        <v>126</v>
      </c>
      <c r="M20" s="4" t="s">
        <v>74</v>
      </c>
      <c r="N20" s="5" t="s">
        <v>98</v>
      </c>
      <c r="O20" s="4" t="s">
        <v>106</v>
      </c>
      <c r="P20" s="5" t="s">
        <v>119</v>
      </c>
      <c r="Q20" s="4" t="s">
        <v>124</v>
      </c>
    </row>
    <row r="21" spans="2:17">
      <c r="B21" s="63" t="s">
        <v>37</v>
      </c>
      <c r="C21" s="63"/>
      <c r="D21" s="71">
        <v>32</v>
      </c>
      <c r="E21" s="72"/>
      <c r="F21" s="64">
        <v>16</v>
      </c>
      <c r="G21" s="63"/>
      <c r="H21" s="64">
        <v>16</v>
      </c>
      <c r="I21" s="63"/>
      <c r="J21" s="64">
        <v>0</v>
      </c>
      <c r="K21" s="63"/>
      <c r="L21" s="64">
        <v>0</v>
      </c>
      <c r="M21" s="73"/>
      <c r="N21" s="64">
        <v>0</v>
      </c>
      <c r="O21" s="63"/>
      <c r="P21" s="64">
        <v>0</v>
      </c>
      <c r="Q21" s="63"/>
    </row>
    <row r="22" spans="2:17">
      <c r="B22" s="12"/>
      <c r="C22" s="12"/>
      <c r="D22" s="12"/>
      <c r="E22" s="12"/>
      <c r="F22" s="13"/>
      <c r="G22" s="12"/>
      <c r="H22" s="14"/>
    </row>
  </sheetData>
  <mergeCells count="21">
    <mergeCell ref="P2:Q3"/>
    <mergeCell ref="B4:C4"/>
    <mergeCell ref="B5:B8"/>
    <mergeCell ref="B2:C3"/>
    <mergeCell ref="D2:E3"/>
    <mergeCell ref="F2:G3"/>
    <mergeCell ref="H2:I3"/>
    <mergeCell ref="J2:K3"/>
    <mergeCell ref="L2:M3"/>
    <mergeCell ref="N2:O3"/>
    <mergeCell ref="P21:Q21"/>
    <mergeCell ref="B9:B12"/>
    <mergeCell ref="B13:B16"/>
    <mergeCell ref="B17:B20"/>
    <mergeCell ref="B21:C21"/>
    <mergeCell ref="D21:E21"/>
    <mergeCell ref="F21:G21"/>
    <mergeCell ref="H21:I21"/>
    <mergeCell ref="J21:K21"/>
    <mergeCell ref="L21:M21"/>
    <mergeCell ref="N21:O21"/>
  </mergeCells>
  <phoneticPr fontId="1" type="noConversion"/>
  <conditionalFormatting sqref="D5:D20 F5:F20 H5:H20 J5:J20 L5:L20 N5:N20 P5:P20">
    <cfRule type="expression" dxfId="0" priority="1">
      <formula>AND(#REF!="Params", D5=_xlfn.MINIFS(#REF!, #REF!, "Params"))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박현준</cp:lastModifiedBy>
  <dcterms:created xsi:type="dcterms:W3CDTF">2015-06-05T18:19:34Z</dcterms:created>
  <dcterms:modified xsi:type="dcterms:W3CDTF">2026-06-09T05:53:03Z</dcterms:modified>
</cp:coreProperties>
</file>